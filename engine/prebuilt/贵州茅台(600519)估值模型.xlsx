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历史财务" sheetId="2" state="visible" r:id="rId2"/>
    <sheet xmlns:r="http://schemas.openxmlformats.org/officeDocument/2006/relationships" name="盈利预测" sheetId="3" state="visible" r:id="rId3"/>
    <sheet xmlns:r="http://schemas.openxmlformats.org/officeDocument/2006/relationships" name="DCF估值" sheetId="4" state="visible" r:id="rId4"/>
    <sheet xmlns:r="http://schemas.openxmlformats.org/officeDocument/2006/relationships" name="敏感性分析" sheetId="5" state="visible" r:id="rId5"/>
    <sheet xmlns:r="http://schemas.openxmlformats.org/officeDocument/2006/relationships" name="可比估值" sheetId="6" state="visible" r:id="rId6"/>
    <sheet xmlns:r="http://schemas.openxmlformats.org/officeDocument/2006/relationships" name="假设与说明" sheetId="7" state="visible" r:id="rId7"/>
    <sheet xmlns:r="http://schemas.openxmlformats.org/officeDocument/2006/relationships" name="PY校验值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元"/>
    <numFmt numFmtId="165" formatCode="0.000亿股"/>
    <numFmt numFmtId="166" formatCode="0.0倍"/>
    <numFmt numFmtId="167" formatCode="0.0%"/>
    <numFmt numFmtId="168" formatCode="#,##0.0"/>
    <numFmt numFmtId="169" formatCode="0.000"/>
    <numFmt numFmtId="170" formatCode="0.0000"/>
    <numFmt numFmtId="171" formatCode="0.0"/>
  </numFmts>
  <fonts count="12">
    <font>
      <name val="Calibri"/>
      <family val="2"/>
      <color theme="1"/>
      <sz val="11"/>
      <scheme val="minor"/>
    </font>
    <font>
      <name val="等线"/>
      <b val="1"/>
      <color rgb="001F4E79"/>
      <sz val="14"/>
    </font>
    <font>
      <name val="等线"/>
      <color rgb="00595959"/>
      <sz val="11"/>
    </font>
    <font>
      <name val="等线"/>
      <b val="1"/>
    </font>
    <font>
      <name val="等线"/>
    </font>
    <font>
      <name val="等线"/>
      <b val="1"/>
      <color rgb="001F4E79"/>
    </font>
    <font>
      <name val="等线"/>
      <color rgb="000000FF"/>
    </font>
    <font>
      <name val="等线"/>
      <color rgb="00808080"/>
      <sz val="10"/>
    </font>
    <font>
      <name val="等线"/>
      <b val="1"/>
      <color rgb="00FFFFFF"/>
    </font>
    <font>
      <name val="等线"/>
      <color rgb="00808080"/>
      <sz val="9"/>
    </font>
    <font>
      <name val="等线"/>
      <color rgb="00595959"/>
      <sz val="9"/>
    </font>
    <font>
      <name val="等线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49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left" vertical="center" wrapText="1"/>
    </xf>
    <xf numFmtId="167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167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168" fontId="5" fillId="2" borderId="1" applyAlignment="1" pivotButton="0" quotePrefix="0" xfId="0">
      <alignment horizontal="center" vertical="center" wrapText="1"/>
    </xf>
    <xf numFmtId="169" fontId="6" fillId="0" borderId="1" applyAlignment="1" pivotButton="0" quotePrefix="0" xfId="0">
      <alignment horizontal="center" vertical="center" wrapText="1"/>
    </xf>
    <xf numFmtId="4" fontId="5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2" fontId="6" fillId="0" borderId="1" applyAlignment="1" pivotButton="0" quotePrefix="0" xfId="0">
      <alignment horizontal="center" vertical="center" wrapText="1"/>
    </xf>
    <xf numFmtId="168" fontId="6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8" fontId="3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70" fontId="4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3" fontId="5" fillId="2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71" fontId="3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3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71" fontId="4" fillId="0" borderId="1" applyAlignment="1" pivotButton="0" quotePrefix="0" xfId="0">
      <alignment horizontal="center" vertical="center" wrapText="1"/>
    </xf>
    <xf numFmtId="171" fontId="6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6" customWidth="1" min="2" max="2"/>
    <col width="44" customWidth="1" min="3" max="3"/>
  </cols>
  <sheetData>
    <row r="2">
      <c r="B2" s="1" t="inlineStr">
        <is>
          <t>贵州茅台（600519.SH）估值模型</t>
        </is>
      </c>
    </row>
    <row r="3">
      <c r="B3" s="2" t="inlineStr">
        <is>
          <t>DCF绝对估值（FCFF二阶段）+ 可比公司相对估值 + 敏感性分析</t>
        </is>
      </c>
    </row>
    <row r="5">
      <c r="B5" s="3" t="inlineStr">
        <is>
          <t>模型日期</t>
        </is>
      </c>
      <c r="C5" s="4" t="inlineStr">
        <is>
          <t>2026-10-24</t>
        </is>
      </c>
    </row>
    <row r="6">
      <c r="B6" s="3" t="inlineStr">
        <is>
          <t>基准年度</t>
        </is>
      </c>
      <c r="C6" s="4" t="inlineStr">
        <is>
          <t>2025年年报（官方披露）+ 2026年半年报</t>
        </is>
      </c>
    </row>
    <row r="7">
      <c r="B7" s="3" t="inlineStr">
        <is>
          <t>现价（2026-10-22）</t>
        </is>
      </c>
      <c r="C7" s="5" t="n">
        <v>1335</v>
      </c>
    </row>
    <row r="8">
      <c r="B8" s="3" t="inlineStr">
        <is>
          <t>总股本</t>
        </is>
      </c>
      <c r="C8" s="6" t="n">
        <v>12.523</v>
      </c>
    </row>
    <row r="10">
      <c r="B10" s="7" t="inlineStr">
        <is>
          <t>估值结论摘要</t>
        </is>
      </c>
    </row>
    <row r="11">
      <c r="B11" s="3" t="inlineStr">
        <is>
          <t>DCF每股价值（WACC≈7.2%，g 2.5%）</t>
        </is>
      </c>
      <c r="C11" s="5">
        <f>'DCF估值'!B33</f>
        <v/>
      </c>
    </row>
    <row r="12">
      <c r="B12" s="3" t="inlineStr">
        <is>
          <t>可比估值区间（2026E PE 22-26倍）</t>
        </is>
      </c>
      <c r="C12" s="4">
        <f>'可比估值'!B15</f>
        <v/>
      </c>
    </row>
    <row r="13">
      <c r="B13" s="3" t="inlineStr">
        <is>
          <t>综合目标区间</t>
        </is>
      </c>
      <c r="C13" s="8" t="inlineStr">
        <is>
          <t>1,550 – 1,800元（中枢1,700元）</t>
        </is>
      </c>
    </row>
    <row r="14">
      <c r="B14" s="3" t="inlineStr">
        <is>
          <t>对应2026E PE</t>
        </is>
      </c>
      <c r="C14" s="9">
        <f>'DCF估值'!B36</f>
        <v/>
      </c>
    </row>
    <row r="15">
      <c r="B15" s="3" t="inlineStr">
        <is>
          <t>隐含上行空间（中枢）</t>
        </is>
      </c>
      <c r="C15" s="10">
        <f>1700/'DCF估值'!B34-1</f>
        <v/>
      </c>
    </row>
    <row r="17">
      <c r="B17" s="7" t="inlineStr">
        <is>
          <t>颜色图例</t>
        </is>
      </c>
    </row>
    <row r="18">
      <c r="B18" s="11" t="inlineStr">
        <is>
          <t>蓝色字体单元格</t>
        </is>
      </c>
      <c r="C18" s="4" t="inlineStr">
        <is>
          <t>输入假设，可直接修改，全表自动重算</t>
        </is>
      </c>
    </row>
    <row r="19">
      <c r="B19" s="4" t="inlineStr">
        <is>
          <t>黑色字体单元格</t>
        </is>
      </c>
      <c r="C19" s="4" t="inlineStr">
        <is>
          <t>公式自动计算，请勿覆盖</t>
        </is>
      </c>
    </row>
    <row r="21">
      <c r="B21" s="12" t="inlineStr">
        <is>
          <t>免责声明：本模型为「研报侠」AI技能生成的估值研究示例，所有数据来自公开渠道，不构成任何投资建议。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历史财务数据（2021-2025年报 + 2026中报）</t>
        </is>
      </c>
    </row>
    <row r="3">
      <c r="A3" s="13" t="inlineStr">
        <is>
          <t>项目</t>
        </is>
      </c>
      <c r="B3" s="13" t="inlineStr">
        <is>
          <t>2021A</t>
        </is>
      </c>
      <c r="C3" s="13" t="inlineStr">
        <is>
          <t>2022A</t>
        </is>
      </c>
      <c r="D3" s="13" t="inlineStr">
        <is>
          <t>2023A</t>
        </is>
      </c>
      <c r="E3" s="13" t="inlineStr">
        <is>
          <t>2024A</t>
        </is>
      </c>
      <c r="F3" s="13" t="inlineStr">
        <is>
          <t>2025A</t>
        </is>
      </c>
      <c r="G3" s="13" t="inlineStr">
        <is>
          <t>2026H1</t>
        </is>
      </c>
    </row>
    <row r="4">
      <c r="A4" s="3" t="inlineStr">
        <is>
          <t>营业总收入（亿元）</t>
        </is>
      </c>
      <c r="B4" s="14" t="n">
        <v>1094.64</v>
      </c>
      <c r="C4" s="14" t="n">
        <v>1275.54</v>
      </c>
      <c r="D4" s="14" t="n">
        <v>1505.6</v>
      </c>
      <c r="E4" s="14" t="n">
        <v>1741.44</v>
      </c>
      <c r="F4" s="14" t="n">
        <v>1720.54</v>
      </c>
      <c r="G4" s="14" t="n">
        <v>922.78</v>
      </c>
    </row>
    <row r="5">
      <c r="A5" s="3" t="inlineStr">
        <is>
          <t>同比增速</t>
        </is>
      </c>
      <c r="B5" s="15" t="n">
        <v>0.1171</v>
      </c>
      <c r="C5" s="15" t="n">
        <v>0.1653</v>
      </c>
      <c r="D5" s="15" t="n">
        <v>0.1804</v>
      </c>
      <c r="E5" s="15" t="n">
        <v>0.1566</v>
      </c>
      <c r="F5" s="15" t="n">
        <v>-0.0121</v>
      </c>
      <c r="G5" s="15" t="n">
        <v>0.013</v>
      </c>
    </row>
    <row r="6">
      <c r="A6" s="3" t="inlineStr">
        <is>
          <t>归母净利润（亿元）</t>
        </is>
      </c>
      <c r="B6" s="14" t="n">
        <v>524.6</v>
      </c>
      <c r="C6" s="14" t="n">
        <v>627.16</v>
      </c>
      <c r="D6" s="14" t="n">
        <v>747.34</v>
      </c>
      <c r="E6" s="14" t="n">
        <v>862.28</v>
      </c>
      <c r="F6" s="14" t="n">
        <v>823.2</v>
      </c>
      <c r="G6" s="14" t="n">
        <v>445.17</v>
      </c>
    </row>
    <row r="7">
      <c r="A7" s="3" t="inlineStr">
        <is>
          <t>同比增速</t>
        </is>
      </c>
      <c r="B7" s="15" t="n">
        <v>0.1234</v>
      </c>
      <c r="C7" s="15" t="n">
        <v>0.1955</v>
      </c>
      <c r="D7" s="15" t="n">
        <v>0.1916</v>
      </c>
      <c r="E7" s="15" t="n">
        <v>0.1538</v>
      </c>
      <c r="F7" s="15" t="n">
        <v>-0.0453</v>
      </c>
      <c r="G7" s="15" t="n">
        <v>-0.0195</v>
      </c>
    </row>
    <row r="8">
      <c r="A8" s="3" t="inlineStr">
        <is>
          <t>EPS（元）</t>
        </is>
      </c>
      <c r="B8" s="16" t="inlineStr">
        <is>
          <t>—</t>
        </is>
      </c>
      <c r="C8" s="16" t="inlineStr">
        <is>
          <t>—</t>
        </is>
      </c>
      <c r="D8" s="16" t="n">
        <v>59.49</v>
      </c>
      <c r="E8" s="16" t="n">
        <v>68.64</v>
      </c>
      <c r="F8" s="16" t="n">
        <v>65.66</v>
      </c>
      <c r="G8" s="16" t="inlineStr">
        <is>
          <t>—</t>
        </is>
      </c>
    </row>
    <row r="9">
      <c r="A9" s="3" t="inlineStr">
        <is>
          <t>加权ROE</t>
        </is>
      </c>
      <c r="B9" s="15" t="inlineStr">
        <is>
          <t>—</t>
        </is>
      </c>
      <c r="C9" s="15" t="inlineStr">
        <is>
          <t>—</t>
        </is>
      </c>
      <c r="D9" s="15" t="n">
        <v>0.3419</v>
      </c>
      <c r="E9" s="15" t="n">
        <v>0.3602</v>
      </c>
      <c r="F9" s="15" t="n">
        <v>0.3253</v>
      </c>
      <c r="G9" s="15" t="inlineStr">
        <is>
          <t>—</t>
        </is>
      </c>
    </row>
    <row r="10">
      <c r="A10" s="3" t="inlineStr">
        <is>
          <t>经营现金流净额（亿元）</t>
        </is>
      </c>
      <c r="B10" s="14" t="inlineStr">
        <is>
          <t>—</t>
        </is>
      </c>
      <c r="C10" s="14" t="inlineStr">
        <is>
          <t>—</t>
        </is>
      </c>
      <c r="D10" s="14" t="n">
        <v>665.9299999999999</v>
      </c>
      <c r="E10" s="14" t="n">
        <v>924.64</v>
      </c>
      <c r="F10" s="14" t="n">
        <v>615.22</v>
      </c>
      <c r="G10" s="14" t="inlineStr">
        <is>
          <t>—</t>
        </is>
      </c>
    </row>
    <row r="11">
      <c r="A11" s="3" t="inlineStr">
        <is>
          <t>全年现金分红总额（亿元）</t>
        </is>
      </c>
      <c r="B11" s="14" t="inlineStr">
        <is>
          <t>—</t>
        </is>
      </c>
      <c r="C11" s="14" t="inlineStr">
        <is>
          <t>—</t>
        </is>
      </c>
      <c r="D11" s="14" t="inlineStr">
        <is>
          <t>—</t>
        </is>
      </c>
      <c r="E11" s="14" t="n">
        <v>646.7</v>
      </c>
      <c r="F11" s="14" t="n">
        <v>650.33</v>
      </c>
      <c r="G11" s="14" t="inlineStr">
        <is>
          <t>—</t>
        </is>
      </c>
    </row>
    <row r="13">
      <c r="A13" s="17" t="inlineStr">
        <is>
          <t>注：营业总收入=营业收入+利息收入等；2025年为上市以来首次营收净利双下滑；2026H1归母净利-1.95%。</t>
        </is>
      </c>
    </row>
    <row r="14">
      <c r="A14" s="17" t="inlineStr">
        <is>
          <t>来源：贵州茅台2025年年度报告（官方PDF）、2026年半年报；详见《假设与说明》页。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盈利预测（2026E-2030E）</t>
        </is>
      </c>
    </row>
    <row r="2">
      <c r="A2" s="17" t="inlineStr">
        <is>
          <t>全部由蓝色假设驱动；茅台酒/系列酒/其他三条线独立预测后加总。</t>
        </is>
      </c>
    </row>
    <row r="3">
      <c r="A3" s="13" t="inlineStr">
        <is>
          <t>项目</t>
        </is>
      </c>
      <c r="B3" s="13" t="inlineStr">
        <is>
          <t>2025A</t>
        </is>
      </c>
      <c r="C3" s="13" t="inlineStr">
        <is>
          <t>2026E</t>
        </is>
      </c>
      <c r="D3" s="13" t="inlineStr">
        <is>
          <t>2027E</t>
        </is>
      </c>
      <c r="E3" s="13" t="inlineStr">
        <is>
          <t>2028E</t>
        </is>
      </c>
      <c r="F3" s="13" t="inlineStr">
        <is>
          <t>2029E</t>
        </is>
      </c>
      <c r="G3" s="13" t="inlineStr">
        <is>
          <t>2030E</t>
        </is>
      </c>
    </row>
    <row r="4">
      <c r="A4" s="3" t="inlineStr">
        <is>
          <t>茅台酒收入增速</t>
        </is>
      </c>
      <c r="B4" s="15" t="n">
        <v>0.0039</v>
      </c>
      <c r="C4" s="18" t="n">
        <v>0.04</v>
      </c>
      <c r="D4" s="18" t="n">
        <v>0.062</v>
      </c>
      <c r="E4" s="18" t="n">
        <v>0.055</v>
      </c>
      <c r="F4" s="18" t="n">
        <v>0.045</v>
      </c>
      <c r="G4" s="18" t="n">
        <v>0.035</v>
      </c>
    </row>
    <row r="5">
      <c r="A5" s="3" t="inlineStr">
        <is>
          <t>茅台酒收入（亿元）</t>
        </is>
      </c>
      <c r="B5" s="14" t="n">
        <v>1465</v>
      </c>
      <c r="C5" s="14">
        <f>B5*(1+C4)</f>
        <v/>
      </c>
      <c r="D5" s="14">
        <f>C5*(1+D4)</f>
        <v/>
      </c>
      <c r="E5" s="14">
        <f>D5*(1+E4)</f>
        <v/>
      </c>
      <c r="F5" s="14">
        <f>E5*(1+F4)</f>
        <v/>
      </c>
      <c r="G5" s="14">
        <f>F5*(1+G4)</f>
        <v/>
      </c>
    </row>
    <row r="6">
      <c r="A6" s="3" t="inlineStr">
        <is>
          <t>系列酒收入增速</t>
        </is>
      </c>
      <c r="B6" s="15" t="n">
        <v>-0.09760000000000001</v>
      </c>
      <c r="C6" s="18" t="n">
        <v>0.02</v>
      </c>
      <c r="D6" s="18" t="n">
        <v>0.06</v>
      </c>
      <c r="E6" s="18" t="n">
        <v>0.07000000000000001</v>
      </c>
      <c r="F6" s="18" t="n">
        <v>0.058</v>
      </c>
      <c r="G6" s="18" t="n">
        <v>0.05</v>
      </c>
    </row>
    <row r="7">
      <c r="A7" s="3" t="inlineStr">
        <is>
          <t>系列酒收入（亿元）</t>
        </is>
      </c>
      <c r="B7" s="14" t="n">
        <v>222.75</v>
      </c>
      <c r="C7" s="14">
        <f>B7*(1+C6)</f>
        <v/>
      </c>
      <c r="D7" s="14">
        <f>C7*(1+D6)</f>
        <v/>
      </c>
      <c r="E7" s="14">
        <f>D7*(1+E6)</f>
        <v/>
      </c>
      <c r="F7" s="14">
        <f>E7*(1+F6)</f>
        <v/>
      </c>
      <c r="G7" s="14">
        <f>F7*(1+G6)</f>
        <v/>
      </c>
    </row>
    <row r="8">
      <c r="A8" s="3" t="inlineStr">
        <is>
          <t>其他收入增速（利息等）</t>
        </is>
      </c>
      <c r="B8" s="19" t="inlineStr">
        <is>
          <t>—</t>
        </is>
      </c>
      <c r="C8" s="18" t="n">
        <v>0.006</v>
      </c>
      <c r="D8" s="18" t="n">
        <v>0.03</v>
      </c>
      <c r="E8" s="18" t="n">
        <v>0.03</v>
      </c>
      <c r="F8" s="18" t="n">
        <v>0.03</v>
      </c>
      <c r="G8" s="18" t="n">
        <v>0.03</v>
      </c>
    </row>
    <row r="9">
      <c r="A9" s="3" t="inlineStr">
        <is>
          <t>其他收入（亿元）</t>
        </is>
      </c>
      <c r="B9" s="14" t="n">
        <v>32.79</v>
      </c>
      <c r="C9" s="14">
        <f>B9*(1+C8)</f>
        <v/>
      </c>
      <c r="D9" s="14">
        <f>C9*(1+D8)</f>
        <v/>
      </c>
      <c r="E9" s="14">
        <f>D9*(1+E8)</f>
        <v/>
      </c>
      <c r="F9" s="14">
        <f>E9*(1+F8)</f>
        <v/>
      </c>
      <c r="G9" s="14">
        <f>F9*(1+G8)</f>
        <v/>
      </c>
    </row>
    <row r="10">
      <c r="A10" s="20" t="inlineStr">
        <is>
          <t>营业总收入（亿元）</t>
        </is>
      </c>
      <c r="B10" s="21">
        <f>B5+B7+B9</f>
        <v/>
      </c>
      <c r="C10" s="21">
        <f>C5+C7+C9</f>
        <v/>
      </c>
      <c r="D10" s="21">
        <f>D5+D7+D9</f>
        <v/>
      </c>
      <c r="E10" s="21">
        <f>E5+E7+E9</f>
        <v/>
      </c>
      <c r="F10" s="21">
        <f>F5+F7+F9</f>
        <v/>
      </c>
      <c r="G10" s="21">
        <f>G5+G7+G9</f>
        <v/>
      </c>
    </row>
    <row r="11">
      <c r="A11" s="3" t="inlineStr">
        <is>
          <t>收入同比</t>
        </is>
      </c>
      <c r="B11" s="15">
        <f>B10/A10-1</f>
        <v/>
      </c>
      <c r="C11" s="15">
        <f>C10/B10-1</f>
        <v/>
      </c>
      <c r="D11" s="15">
        <f>D10/C10-1</f>
        <v/>
      </c>
      <c r="E11" s="15">
        <f>E10/D10-1</f>
        <v/>
      </c>
      <c r="F11" s="15">
        <f>F10/E10-1</f>
        <v/>
      </c>
      <c r="G11" s="15">
        <f>G10/F10-1</f>
        <v/>
      </c>
    </row>
    <row r="12">
      <c r="A12" s="3" t="inlineStr">
        <is>
          <t>归母净利率</t>
        </is>
      </c>
      <c r="B12" s="15" t="n">
        <v>0.4784</v>
      </c>
      <c r="C12" s="18" t="n">
        <v>0.48</v>
      </c>
      <c r="D12" s="18" t="n">
        <v>0.492</v>
      </c>
      <c r="E12" s="18" t="n">
        <v>0.495</v>
      </c>
      <c r="F12" s="18" t="n">
        <v>0.4970000000000001</v>
      </c>
      <c r="G12" s="18" t="n">
        <v>0.498</v>
      </c>
    </row>
    <row r="13">
      <c r="A13" s="20" t="inlineStr">
        <is>
          <t>归母净利润（亿元）</t>
        </is>
      </c>
      <c r="B13" s="21" t="n">
        <v>823.2</v>
      </c>
      <c r="C13" s="21">
        <f>C10*C12</f>
        <v/>
      </c>
      <c r="D13" s="21">
        <f>D10*D12</f>
        <v/>
      </c>
      <c r="E13" s="21">
        <f>E10*E12</f>
        <v/>
      </c>
      <c r="F13" s="21">
        <f>F10*F12</f>
        <v/>
      </c>
      <c r="G13" s="21">
        <f>G10*G12</f>
        <v/>
      </c>
    </row>
    <row r="14">
      <c r="A14" s="3" t="inlineStr">
        <is>
          <t>净利同比</t>
        </is>
      </c>
      <c r="B14" s="15">
        <f>B13/A13-1</f>
        <v/>
      </c>
      <c r="C14" s="15">
        <f>C13/B13-1</f>
        <v/>
      </c>
      <c r="D14" s="15">
        <f>D13/C13-1</f>
        <v/>
      </c>
      <c r="E14" s="15">
        <f>E13/D13-1</f>
        <v/>
      </c>
      <c r="F14" s="15">
        <f>F13/E13-1</f>
        <v/>
      </c>
      <c r="G14" s="15">
        <f>G13/F13-1</f>
        <v/>
      </c>
    </row>
    <row r="15">
      <c r="A15" s="3" t="inlineStr">
        <is>
          <t>总股本（亿股）</t>
        </is>
      </c>
      <c r="B15" s="22" t="n">
        <v>12.523</v>
      </c>
    </row>
    <row r="16">
      <c r="A16" s="20" t="inlineStr">
        <is>
          <t>EPS（元）</t>
        </is>
      </c>
      <c r="B16" s="23">
        <f>B13/$B$15</f>
        <v/>
      </c>
      <c r="C16" s="23">
        <f>C13/$B$15</f>
        <v/>
      </c>
      <c r="D16" s="23">
        <f>D13/$B$15</f>
        <v/>
      </c>
      <c r="E16" s="23">
        <f>E13/$B$15</f>
        <v/>
      </c>
      <c r="F16" s="23">
        <f>F13/$B$15</f>
        <v/>
      </c>
      <c r="G16" s="23">
        <f>G13/$B$15</f>
        <v/>
      </c>
    </row>
    <row r="18">
      <c r="A18" s="24" t="inlineStr">
        <is>
          <t>关键假设依据：</t>
        </is>
      </c>
    </row>
    <row r="19">
      <c r="A19" s="25" t="inlineStr">
        <is>
          <t>1. 2026E茅台酒+4.0%：H1实际持平（777亿），H2提价满效应+2025H2控货低基数</t>
        </is>
      </c>
    </row>
    <row r="20">
      <c r="A20" s="25" t="inlineStr">
        <is>
          <t>2. 提价传导：出厂价1169→1269元(+8.6%)自2026-03-31生效，出厂价增利未计入7月i茅台二次上调</t>
        </is>
      </c>
    </row>
    <row r="21">
      <c r="A21" s="25" t="inlineStr">
        <is>
          <t>3. 系列酒2026E+2%为结构调整尾声，2027年起随行业回暖恢复</t>
        </is>
      </c>
    </row>
    <row r="22">
      <c r="A22" s="25" t="inlineStr">
        <is>
          <t>4. 其他（财务公司利息收入等）低个位数稳态增长</t>
        </is>
      </c>
    </row>
    <row r="23">
      <c r="A23" s="25" t="inlineStr">
        <is>
          <t>5. 提价结构性增利+直销占比提升 &gt; 销售费用'全面向C'投入（2026E销售费用假设+12%）</t>
        </is>
      </c>
    </row>
    <row r="24">
      <c r="A24" s="17" t="inlineStr">
        <is>
          <t>注：EPS按期末股本计算，与年报加权平均口径差异&lt;0.2%。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DCF估值（FCFF二阶段模型）</t>
        </is>
      </c>
    </row>
    <row r="3">
      <c r="A3" s="7" t="inlineStr">
        <is>
          <t>折现率假设</t>
        </is>
      </c>
    </row>
    <row r="4">
      <c r="A4" s="3" t="inlineStr">
        <is>
          <t>无风险利率 Rf（10Y国债）</t>
        </is>
      </c>
      <c r="B4" s="18" t="n">
        <v>0.0164</v>
      </c>
    </row>
    <row r="5">
      <c r="A5" s="3" t="inlineStr">
        <is>
          <t>股权风险溢价 ERP</t>
        </is>
      </c>
      <c r="B5" s="18" t="n">
        <v>0.065</v>
      </c>
    </row>
    <row r="6">
      <c r="A6" s="3" t="inlineStr">
        <is>
          <t>Beta（白酒防御属性）</t>
        </is>
      </c>
      <c r="B6" s="26" t="n">
        <v>0.85</v>
      </c>
    </row>
    <row r="7">
      <c r="A7" s="3" t="inlineStr">
        <is>
          <t>WACC = Rf + β×ERP（≈Ke，全股权）</t>
        </is>
      </c>
      <c r="B7" s="15">
        <f>B4+B5*B6</f>
        <v/>
      </c>
    </row>
    <row r="8">
      <c r="A8" s="3" t="inlineStr">
        <is>
          <t>永续增长率 g</t>
        </is>
      </c>
      <c r="B8" s="18" t="n">
        <v>0.025</v>
      </c>
    </row>
    <row r="9">
      <c r="A9" s="3" t="inlineStr">
        <is>
          <t>超额净现金（亿元）</t>
        </is>
      </c>
      <c r="B9" s="27" t="n">
        <v>1300</v>
      </c>
    </row>
    <row r="10">
      <c r="A10" s="3" t="inlineStr">
        <is>
          <t>少数股东权益（亿元）</t>
        </is>
      </c>
      <c r="B10" s="27" t="n">
        <v>30</v>
      </c>
    </row>
    <row r="11">
      <c r="A11" s="3" t="inlineStr">
        <is>
          <t>总股本（亿股）</t>
        </is>
      </c>
      <c r="B11" s="28">
        <f>盈利预测!B15</f>
        <v/>
      </c>
    </row>
    <row r="13">
      <c r="A13" s="7" t="inlineStr">
        <is>
          <t>FCFF预测（亿元）</t>
        </is>
      </c>
    </row>
    <row r="14">
      <c r="A14" s="13" t="inlineStr">
        <is>
          <t>项目</t>
        </is>
      </c>
      <c r="B14" s="13" t="inlineStr">
        <is>
          <t>2026E</t>
        </is>
      </c>
      <c r="C14" s="13" t="inlineStr">
        <is>
          <t>2027E</t>
        </is>
      </c>
      <c r="D14" s="13" t="inlineStr">
        <is>
          <t>2028E</t>
        </is>
      </c>
      <c r="E14" s="13" t="inlineStr">
        <is>
          <t>2029E</t>
        </is>
      </c>
      <c r="F14" s="13" t="inlineStr">
        <is>
          <t>2030E</t>
        </is>
      </c>
    </row>
    <row r="15">
      <c r="A15" s="4" t="inlineStr">
        <is>
          <t>归母净利润（引用盈利预测）</t>
        </is>
      </c>
      <c r="B15" s="14">
        <f>'盈利预测'!B13</f>
        <v/>
      </c>
      <c r="C15" s="14">
        <f>'盈利预测'!C13</f>
        <v/>
      </c>
      <c r="D15" s="14">
        <f>'盈利预测'!D13</f>
        <v/>
      </c>
      <c r="E15" s="14">
        <f>'盈利预测'!E13</f>
        <v/>
      </c>
      <c r="F15" s="14">
        <f>'盈利预测'!F13</f>
        <v/>
      </c>
    </row>
    <row r="16">
      <c r="A16" s="11" t="inlineStr">
        <is>
          <t>少数股东损益还原 +1.5%</t>
        </is>
      </c>
      <c r="B16" s="18" t="n">
        <v>0.015</v>
      </c>
      <c r="C16" s="18" t="n">
        <v>0.015</v>
      </c>
      <c r="D16" s="18" t="n">
        <v>0.015</v>
      </c>
      <c r="E16" s="18" t="n">
        <v>0.015</v>
      </c>
      <c r="F16" s="18" t="n">
        <v>0.015</v>
      </c>
    </row>
    <row r="17">
      <c r="A17" s="4" t="inlineStr">
        <is>
          <t>NOPAT = 净利×(1+少数占比)</t>
        </is>
      </c>
      <c r="B17" s="14">
        <f>B15*(1+B16)</f>
        <v/>
      </c>
      <c r="C17" s="14">
        <f>C15*(1+C16)</f>
        <v/>
      </c>
      <c r="D17" s="14">
        <f>D15*(1+D16)</f>
        <v/>
      </c>
      <c r="E17" s="14">
        <f>E15*(1+E16)</f>
        <v/>
      </c>
      <c r="F17" s="14">
        <f>F15*(1+F16)</f>
        <v/>
      </c>
    </row>
    <row r="18">
      <c r="A18" s="11" t="inlineStr">
        <is>
          <t>折旧摊销（+）</t>
        </is>
      </c>
      <c r="B18" s="27" t="n">
        <v>30</v>
      </c>
      <c r="C18" s="27" t="n">
        <v>32</v>
      </c>
      <c r="D18" s="27" t="n">
        <v>35</v>
      </c>
      <c r="E18" s="27" t="n">
        <v>37</v>
      </c>
      <c r="F18" s="27" t="n">
        <v>38</v>
      </c>
    </row>
    <row r="19">
      <c r="A19" s="11" t="inlineStr">
        <is>
          <t>资本开支（−）</t>
        </is>
      </c>
      <c r="B19" s="27" t="n">
        <v>60</v>
      </c>
      <c r="C19" s="27" t="n">
        <v>55</v>
      </c>
      <c r="D19" s="27" t="n">
        <v>50</v>
      </c>
      <c r="E19" s="27" t="n">
        <v>45</v>
      </c>
      <c r="F19" s="27" t="n">
        <v>40</v>
      </c>
    </row>
    <row r="20">
      <c r="A20" s="11" t="inlineStr">
        <is>
          <t>营运资金变动（−）</t>
        </is>
      </c>
      <c r="B20" s="27" t="n">
        <v>0</v>
      </c>
      <c r="C20" s="27" t="n">
        <v>0</v>
      </c>
      <c r="D20" s="27" t="n">
        <v>0</v>
      </c>
      <c r="E20" s="27" t="n">
        <v>0</v>
      </c>
      <c r="F20" s="27" t="n">
        <v>0</v>
      </c>
    </row>
    <row r="21">
      <c r="A21" s="29" t="inlineStr">
        <is>
          <t>FCFF</t>
        </is>
      </c>
      <c r="B21" s="30">
        <f>B17+B18-B19-B20</f>
        <v/>
      </c>
      <c r="C21" s="30">
        <f>C17+C18-C19-C20</f>
        <v/>
      </c>
      <c r="D21" s="30">
        <f>D17+D18-D19-D20</f>
        <v/>
      </c>
      <c r="E21" s="30">
        <f>E17+E18-E19-E20</f>
        <v/>
      </c>
      <c r="F21" s="30">
        <f>F17+F18-F19-F20</f>
        <v/>
      </c>
    </row>
    <row r="22">
      <c r="A22" s="4" t="inlineStr">
        <is>
          <t>折现期 t（年）</t>
        </is>
      </c>
      <c r="B22" s="31" t="n">
        <v>1</v>
      </c>
      <c r="C22" s="31" t="n">
        <v>2</v>
      </c>
      <c r="D22" s="31" t="n">
        <v>3</v>
      </c>
      <c r="E22" s="31" t="n">
        <v>4</v>
      </c>
      <c r="F22" s="31" t="n">
        <v>5</v>
      </c>
    </row>
    <row r="23">
      <c r="A23" s="4" t="inlineStr">
        <is>
          <t>折现因子 =1/(1+WACC)^t</t>
        </is>
      </c>
      <c r="B23" s="32">
        <f>1/(1+$B$7)^B22</f>
        <v/>
      </c>
      <c r="C23" s="32">
        <f>1/(1+$B$7)^C22</f>
        <v/>
      </c>
      <c r="D23" s="32">
        <f>1/(1+$B$7)^D22</f>
        <v/>
      </c>
      <c r="E23" s="32">
        <f>1/(1+$B$7)^E22</f>
        <v/>
      </c>
      <c r="F23" s="32">
        <f>1/(1+$B$7)^F22</f>
        <v/>
      </c>
    </row>
    <row r="24">
      <c r="A24" s="4" t="inlineStr">
        <is>
          <t>FCFF现值</t>
        </is>
      </c>
      <c r="B24" s="14">
        <f>B21*B23</f>
        <v/>
      </c>
      <c r="C24" s="14">
        <f>C21*C23</f>
        <v/>
      </c>
      <c r="D24" s="14">
        <f>D21*D23</f>
        <v/>
      </c>
      <c r="E24" s="14">
        <f>E21*E23</f>
        <v/>
      </c>
      <c r="F24" s="14">
        <f>F21*F23</f>
        <v/>
      </c>
    </row>
    <row r="26">
      <c r="A26" s="33" t="inlineStr">
        <is>
          <t>显性期FCFF现值合计（亿元）</t>
        </is>
      </c>
      <c r="B26" s="30">
        <f>SUM(C24:G24)</f>
        <v/>
      </c>
    </row>
    <row r="27">
      <c r="A27" s="3" t="inlineStr">
        <is>
          <t>终值 TV = FCFF2030×(1+g)/(WACC−g)</t>
        </is>
      </c>
      <c r="B27" s="30">
        <f>G21*(1+B8)/(B7-B8)</f>
        <v/>
      </c>
    </row>
    <row r="28">
      <c r="A28" s="3" t="inlineStr">
        <is>
          <t>终值现值</t>
        </is>
      </c>
      <c r="B28" s="30">
        <f>B27*G23</f>
        <v/>
      </c>
    </row>
    <row r="29">
      <c r="A29" s="3" t="inlineStr">
        <is>
          <t>企业价值 EV</t>
        </is>
      </c>
      <c r="B29" s="30">
        <f>B26+B28</f>
        <v/>
      </c>
    </row>
    <row r="30">
      <c r="A30" s="3" t="inlineStr">
        <is>
          <t>加：超额净现金</t>
        </is>
      </c>
      <c r="B30" s="30">
        <f>B9</f>
        <v/>
      </c>
    </row>
    <row r="31">
      <c r="A31" s="3" t="inlineStr">
        <is>
          <t>减：少数股东权益</t>
        </is>
      </c>
      <c r="B31" s="30">
        <f>B10</f>
        <v/>
      </c>
    </row>
    <row r="32">
      <c r="A32" s="29" t="inlineStr">
        <is>
          <t>股权价值（亿元）</t>
        </is>
      </c>
      <c r="B32" s="21">
        <f>B29+B30-B31</f>
        <v/>
      </c>
    </row>
    <row r="33">
      <c r="A33" s="29" t="inlineStr">
        <is>
          <t>每股价值（元）</t>
        </is>
      </c>
      <c r="B33" s="34">
        <f>B32/B11</f>
        <v/>
      </c>
    </row>
    <row r="34">
      <c r="A34" s="11" t="inlineStr">
        <is>
          <t>现价（元，2026-10-22）</t>
        </is>
      </c>
      <c r="B34" s="35" t="n">
        <v>1335</v>
      </c>
    </row>
    <row r="35">
      <c r="A35" s="3" t="inlineStr">
        <is>
          <t>隐含上行空间</t>
        </is>
      </c>
      <c r="B35" s="36">
        <f>B33/B34-1</f>
        <v/>
      </c>
    </row>
    <row r="36">
      <c r="A36" s="3" t="inlineStr">
        <is>
          <t>对应2026E PE</t>
        </is>
      </c>
      <c r="B36" s="37">
        <f>B33/'盈利预测'!C16</f>
        <v/>
      </c>
    </row>
    <row r="39">
      <c r="A39" s="17" t="inlineStr">
        <is>
          <t>注：WACC行(第7行)由Rf+β×ERP计算；引用单元格：B4=Rf, B5=ERP, B6=β, B7=WACC, B8=g, B9=净现金, B10=少数, B11=股本。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敏感性分析：每股价值（元） = f（WACC，永续增长率g）</t>
        </is>
      </c>
    </row>
    <row r="2">
      <c r="A2" s="17" t="inlineStr">
        <is>
          <t>矩阵公式内嵌完整DCF：修改左侧/顶部蓝色假设或DCF页FCFF后自动重算。</t>
        </is>
      </c>
    </row>
    <row r="4">
      <c r="A4" s="13" t="inlineStr">
        <is>
          <t>WACC \ g</t>
        </is>
      </c>
      <c r="B4" s="18" t="n">
        <v>0.02</v>
      </c>
      <c r="C4" s="18" t="n">
        <v>0.0225</v>
      </c>
      <c r="D4" s="18" t="n">
        <v>0.025</v>
      </c>
      <c r="E4" s="18" t="n">
        <v>0.0275</v>
      </c>
      <c r="F4" s="18" t="n">
        <v>0.03</v>
      </c>
    </row>
    <row r="5">
      <c r="A5" s="18" t="n">
        <v>0.062</v>
      </c>
      <c r="B5" s="38">
        <f>('DCF估值'!B21/(1+$A5)^1+'DCF估值'!C21/(1+$A5)^2+'DCF估值'!D21/(1+$A5)^3+'DCF估值'!E21/(1+$A5)^4+'DCF估值'!F21/(1+$A5)^5+'DCF估值'!G21*(1+B$4)/($A5-B$4)/(1+$A5)^5+'DCF估值'!$B$9-'DCF估值'!$B$10)/'DCF估值'!$B$11</f>
        <v/>
      </c>
      <c r="C5" s="38">
        <f>('DCF估值'!B21/(1+$A5)^1+'DCF估值'!C21/(1+$A5)^2+'DCF估值'!D21/(1+$A5)^3+'DCF估值'!E21/(1+$A5)^4+'DCF估值'!F21/(1+$A5)^5+'DCF估值'!G21*(1+C$4)/($A5-C$4)/(1+$A5)^5+'DCF估值'!$B$9-'DCF估值'!$B$10)/'DCF估值'!$B$11</f>
        <v/>
      </c>
      <c r="D5" s="38">
        <f>('DCF估值'!B21/(1+$A5)^1+'DCF估值'!C21/(1+$A5)^2+'DCF估值'!D21/(1+$A5)^3+'DCF估值'!E21/(1+$A5)^4+'DCF估值'!F21/(1+$A5)^5+'DCF估值'!G21*(1+D$4)/($A5-D$4)/(1+$A5)^5+'DCF估值'!$B$9-'DCF估值'!$B$10)/'DCF估值'!$B$11</f>
        <v/>
      </c>
      <c r="E5" s="38">
        <f>('DCF估值'!B21/(1+$A5)^1+'DCF估值'!C21/(1+$A5)^2+'DCF估值'!D21/(1+$A5)^3+'DCF估值'!E21/(1+$A5)^4+'DCF估值'!F21/(1+$A5)^5+'DCF估值'!G21*(1+E$4)/($A5-E$4)/(1+$A5)^5+'DCF估值'!$B$9-'DCF估值'!$B$10)/'DCF估值'!$B$11</f>
        <v/>
      </c>
      <c r="F5" s="38">
        <f>('DCF估值'!B21/(1+$A5)^1+'DCF估值'!C21/(1+$A5)^2+'DCF估值'!D21/(1+$A5)^3+'DCF估值'!E21/(1+$A5)^4+'DCF估值'!F21/(1+$A5)^5+'DCF估值'!G21*(1+F$4)/($A5-F$4)/(1+$A5)^5+'DCF估值'!$B$9-'DCF估值'!$B$10)/'DCF估值'!$B$11</f>
        <v/>
      </c>
    </row>
    <row r="6">
      <c r="A6" s="18" t="n">
        <v>0.067</v>
      </c>
      <c r="B6" s="38">
        <f>('DCF估值'!B21/(1+$A6)^1+'DCF估值'!C21/(1+$A6)^2+'DCF估值'!D21/(1+$A6)^3+'DCF估值'!E21/(1+$A6)^4+'DCF估值'!F21/(1+$A6)^5+'DCF估值'!G21*(1+B$4)/($A6-B$4)/(1+$A6)^5+'DCF估值'!$B$9-'DCF估值'!$B$10)/'DCF估值'!$B$11</f>
        <v/>
      </c>
      <c r="C6" s="38">
        <f>('DCF估值'!B21/(1+$A6)^1+'DCF估值'!C21/(1+$A6)^2+'DCF估值'!D21/(1+$A6)^3+'DCF估值'!E21/(1+$A6)^4+'DCF估值'!F21/(1+$A6)^5+'DCF估值'!G21*(1+C$4)/($A6-C$4)/(1+$A6)^5+'DCF估值'!$B$9-'DCF估值'!$B$10)/'DCF估值'!$B$11</f>
        <v/>
      </c>
      <c r="D6" s="38">
        <f>('DCF估值'!B21/(1+$A6)^1+'DCF估值'!C21/(1+$A6)^2+'DCF估值'!D21/(1+$A6)^3+'DCF估值'!E21/(1+$A6)^4+'DCF估值'!F21/(1+$A6)^5+'DCF估值'!G21*(1+D$4)/($A6-D$4)/(1+$A6)^5+'DCF估值'!$B$9-'DCF估值'!$B$10)/'DCF估值'!$B$11</f>
        <v/>
      </c>
      <c r="E6" s="38">
        <f>('DCF估值'!B21/(1+$A6)^1+'DCF估值'!C21/(1+$A6)^2+'DCF估值'!D21/(1+$A6)^3+'DCF估值'!E21/(1+$A6)^4+'DCF估值'!F21/(1+$A6)^5+'DCF估值'!G21*(1+E$4)/($A6-E$4)/(1+$A6)^5+'DCF估值'!$B$9-'DCF估值'!$B$10)/'DCF估值'!$B$11</f>
        <v/>
      </c>
      <c r="F6" s="38">
        <f>('DCF估值'!B21/(1+$A6)^1+'DCF估值'!C21/(1+$A6)^2+'DCF估值'!D21/(1+$A6)^3+'DCF估值'!E21/(1+$A6)^4+'DCF估值'!F21/(1+$A6)^5+'DCF估值'!G21*(1+F$4)/($A6-F$4)/(1+$A6)^5+'DCF估值'!$B$9-'DCF估值'!$B$10)/'DCF估值'!$B$11</f>
        <v/>
      </c>
    </row>
    <row r="7">
      <c r="A7" s="18" t="n">
        <v>0.07200000000000001</v>
      </c>
      <c r="B7" s="38">
        <f>('DCF估值'!B21/(1+$A7)^1+'DCF估值'!C21/(1+$A7)^2+'DCF估值'!D21/(1+$A7)^3+'DCF估值'!E21/(1+$A7)^4+'DCF估值'!F21/(1+$A7)^5+'DCF估值'!G21*(1+B$4)/($A7-B$4)/(1+$A7)^5+'DCF估值'!$B$9-'DCF估值'!$B$10)/'DCF估值'!$B$11</f>
        <v/>
      </c>
      <c r="C7" s="38">
        <f>('DCF估值'!B21/(1+$A7)^1+'DCF估值'!C21/(1+$A7)^2+'DCF估值'!D21/(1+$A7)^3+'DCF估值'!E21/(1+$A7)^4+'DCF估值'!F21/(1+$A7)^5+'DCF估值'!G21*(1+C$4)/($A7-C$4)/(1+$A7)^5+'DCF估值'!$B$9-'DCF估值'!$B$10)/'DCF估值'!$B$11</f>
        <v/>
      </c>
      <c r="D7" s="39">
        <f>('DCF估值'!B21/(1+$A7)^1+'DCF估值'!C21/(1+$A7)^2+'DCF估值'!D21/(1+$A7)^3+'DCF估值'!E21/(1+$A7)^4+'DCF估值'!F21/(1+$A7)^5+'DCF估值'!G21*(1+D$4)/($A7-D$4)/(1+$A7)^5+'DCF估值'!$B$9-'DCF估值'!$B$10)/'DCF估值'!$B$11</f>
        <v/>
      </c>
      <c r="E7" s="38">
        <f>('DCF估值'!B21/(1+$A7)^1+'DCF估值'!C21/(1+$A7)^2+'DCF估值'!D21/(1+$A7)^3+'DCF估值'!E21/(1+$A7)^4+'DCF估值'!F21/(1+$A7)^5+'DCF估值'!G21*(1+E$4)/($A7-E$4)/(1+$A7)^5+'DCF估值'!$B$9-'DCF估值'!$B$10)/'DCF估值'!$B$11</f>
        <v/>
      </c>
      <c r="F7" s="38">
        <f>('DCF估值'!B21/(1+$A7)^1+'DCF估值'!C21/(1+$A7)^2+'DCF估值'!D21/(1+$A7)^3+'DCF估值'!E21/(1+$A7)^4+'DCF估值'!F21/(1+$A7)^5+'DCF估值'!G21*(1+F$4)/($A7-F$4)/(1+$A7)^5+'DCF估值'!$B$9-'DCF估值'!$B$10)/'DCF估值'!$B$11</f>
        <v/>
      </c>
    </row>
    <row r="8">
      <c r="A8" s="18" t="n">
        <v>0.077</v>
      </c>
      <c r="B8" s="38">
        <f>('DCF估值'!B21/(1+$A8)^1+'DCF估值'!C21/(1+$A8)^2+'DCF估值'!D21/(1+$A8)^3+'DCF估值'!E21/(1+$A8)^4+'DCF估值'!F21/(1+$A8)^5+'DCF估值'!G21*(1+B$4)/($A8-B$4)/(1+$A8)^5+'DCF估值'!$B$9-'DCF估值'!$B$10)/'DCF估值'!$B$11</f>
        <v/>
      </c>
      <c r="C8" s="38">
        <f>('DCF估值'!B21/(1+$A8)^1+'DCF估值'!C21/(1+$A8)^2+'DCF估值'!D21/(1+$A8)^3+'DCF估值'!E21/(1+$A8)^4+'DCF估值'!F21/(1+$A8)^5+'DCF估值'!G21*(1+C$4)/($A8-C$4)/(1+$A8)^5+'DCF估值'!$B$9-'DCF估值'!$B$10)/'DCF估值'!$B$11</f>
        <v/>
      </c>
      <c r="D8" s="38">
        <f>('DCF估值'!B21/(1+$A8)^1+'DCF估值'!C21/(1+$A8)^2+'DCF估值'!D21/(1+$A8)^3+'DCF估值'!E21/(1+$A8)^4+'DCF估值'!F21/(1+$A8)^5+'DCF估值'!G21*(1+D$4)/($A8-D$4)/(1+$A8)^5+'DCF估值'!$B$9-'DCF估值'!$B$10)/'DCF估值'!$B$11</f>
        <v/>
      </c>
      <c r="E8" s="38">
        <f>('DCF估值'!B21/(1+$A8)^1+'DCF估值'!C21/(1+$A8)^2+'DCF估值'!D21/(1+$A8)^3+'DCF估值'!E21/(1+$A8)^4+'DCF估值'!F21/(1+$A8)^5+'DCF估值'!G21*(1+E$4)/($A8-E$4)/(1+$A8)^5+'DCF估值'!$B$9-'DCF估值'!$B$10)/'DCF估值'!$B$11</f>
        <v/>
      </c>
      <c r="F8" s="38">
        <f>('DCF估值'!B21/(1+$A8)^1+'DCF估值'!C21/(1+$A8)^2+'DCF估值'!D21/(1+$A8)^3+'DCF估值'!E21/(1+$A8)^4+'DCF估值'!F21/(1+$A8)^5+'DCF估值'!G21*(1+F$4)/($A8-F$4)/(1+$A8)^5+'DCF估值'!$B$9-'DCF估值'!$B$10)/'DCF估值'!$B$11</f>
        <v/>
      </c>
    </row>
    <row r="9">
      <c r="A9" s="18" t="n">
        <v>0.08199999999999999</v>
      </c>
      <c r="B9" s="38">
        <f>('DCF估值'!B21/(1+$A9)^1+'DCF估值'!C21/(1+$A9)^2+'DCF估值'!D21/(1+$A9)^3+'DCF估值'!E21/(1+$A9)^4+'DCF估值'!F21/(1+$A9)^5+'DCF估值'!G21*(1+B$4)/($A9-B$4)/(1+$A9)^5+'DCF估值'!$B$9-'DCF估值'!$B$10)/'DCF估值'!$B$11</f>
        <v/>
      </c>
      <c r="C9" s="38">
        <f>('DCF估值'!B21/(1+$A9)^1+'DCF估值'!C21/(1+$A9)^2+'DCF估值'!D21/(1+$A9)^3+'DCF估值'!E21/(1+$A9)^4+'DCF估值'!F21/(1+$A9)^5+'DCF估值'!G21*(1+C$4)/($A9-C$4)/(1+$A9)^5+'DCF估值'!$B$9-'DCF估值'!$B$10)/'DCF估值'!$B$11</f>
        <v/>
      </c>
      <c r="D9" s="38">
        <f>('DCF估值'!B21/(1+$A9)^1+'DCF估值'!C21/(1+$A9)^2+'DCF估值'!D21/(1+$A9)^3+'DCF估值'!E21/(1+$A9)^4+'DCF估值'!F21/(1+$A9)^5+'DCF估值'!G21*(1+D$4)/($A9-D$4)/(1+$A9)^5+'DCF估值'!$B$9-'DCF估值'!$B$10)/'DCF估值'!$B$11</f>
        <v/>
      </c>
      <c r="E9" s="38">
        <f>('DCF估值'!B21/(1+$A9)^1+'DCF估值'!C21/(1+$A9)^2+'DCF估值'!D21/(1+$A9)^3+'DCF估值'!E21/(1+$A9)^4+'DCF估值'!F21/(1+$A9)^5+'DCF估值'!G21*(1+E$4)/($A9-E$4)/(1+$A9)^5+'DCF估值'!$B$9-'DCF估值'!$B$10)/'DCF估值'!$B$11</f>
        <v/>
      </c>
      <c r="F9" s="38">
        <f>('DCF估值'!B21/(1+$A9)^1+'DCF估值'!C21/(1+$A9)^2+'DCF估值'!D21/(1+$A9)^3+'DCF估值'!E21/(1+$A9)^4+'DCF估值'!F21/(1+$A9)^5+'DCF估值'!G21*(1+F$4)/($A9-F$4)/(1+$A9)^5+'DCF估值'!$B$9-'DCF估值'!$B$10)/'DCF估值'!$B$11</f>
        <v/>
      </c>
    </row>
    <row r="11">
      <c r="A11" s="7" t="inlineStr">
        <is>
          <t>对应上行空间（相对现价）</t>
        </is>
      </c>
    </row>
    <row r="12">
      <c r="A12" s="18" t="n">
        <v>0.062</v>
      </c>
      <c r="B12" s="15">
        <f>B5/'DCF估值'!$B$34-1</f>
        <v/>
      </c>
      <c r="C12" s="15">
        <f>C5/'DCF估值'!$B$34-1</f>
        <v/>
      </c>
      <c r="D12" s="15">
        <f>D5/'DCF估值'!$B$34-1</f>
        <v/>
      </c>
      <c r="E12" s="15">
        <f>E5/'DCF估值'!$B$34-1</f>
        <v/>
      </c>
      <c r="F12" s="15">
        <f>F5/'DCF估值'!$B$34-1</f>
        <v/>
      </c>
    </row>
    <row r="13">
      <c r="A13" s="18" t="n">
        <v>0.067</v>
      </c>
      <c r="B13" s="15">
        <f>B6/'DCF估值'!$B$34-1</f>
        <v/>
      </c>
      <c r="C13" s="15">
        <f>C6/'DCF估值'!$B$34-1</f>
        <v/>
      </c>
      <c r="D13" s="15">
        <f>D6/'DCF估值'!$B$34-1</f>
        <v/>
      </c>
      <c r="E13" s="15">
        <f>E6/'DCF估值'!$B$34-1</f>
        <v/>
      </c>
      <c r="F13" s="15">
        <f>F6/'DCF估值'!$B$34-1</f>
        <v/>
      </c>
    </row>
    <row r="14">
      <c r="A14" s="18" t="n">
        <v>0.07200000000000001</v>
      </c>
      <c r="B14" s="15">
        <f>B7/'DCF估值'!$B$34-1</f>
        <v/>
      </c>
      <c r="C14" s="15">
        <f>C7/'DCF估值'!$B$34-1</f>
        <v/>
      </c>
      <c r="D14" s="15">
        <f>D7/'DCF估值'!$B$34-1</f>
        <v/>
      </c>
      <c r="E14" s="15">
        <f>E7/'DCF估值'!$B$34-1</f>
        <v/>
      </c>
      <c r="F14" s="15">
        <f>F7/'DCF估值'!$B$34-1</f>
        <v/>
      </c>
    </row>
    <row r="15">
      <c r="A15" s="18" t="n">
        <v>0.077</v>
      </c>
      <c r="B15" s="15">
        <f>B8/'DCF估值'!$B$34-1</f>
        <v/>
      </c>
      <c r="C15" s="15">
        <f>C8/'DCF估值'!$B$34-1</f>
        <v/>
      </c>
      <c r="D15" s="15">
        <f>D8/'DCF估值'!$B$34-1</f>
        <v/>
      </c>
      <c r="E15" s="15">
        <f>E8/'DCF估值'!$B$34-1</f>
        <v/>
      </c>
      <c r="F15" s="15">
        <f>F8/'DCF估值'!$B$34-1</f>
        <v/>
      </c>
    </row>
    <row r="16">
      <c r="A16" s="18" t="n">
        <v>0.08199999999999999</v>
      </c>
      <c r="B16" s="15">
        <f>B9/'DCF估值'!$B$34-1</f>
        <v/>
      </c>
      <c r="C16" s="15">
        <f>C9/'DCF估值'!$B$34-1</f>
        <v/>
      </c>
      <c r="D16" s="15">
        <f>D9/'DCF估值'!$B$34-1</f>
        <v/>
      </c>
      <c r="E16" s="15">
        <f>E9/'DCF估值'!$B$34-1</f>
        <v/>
      </c>
      <c r="F16" s="15">
        <f>F9/'DCF估值'!$B$34-1</f>
        <v/>
      </c>
    </row>
    <row r="18">
      <c r="A18" s="17" t="inlineStr">
        <is>
          <t>解读：现价1,335元低于最保守角落（WACC 8.2%×g 2.0%）的每股价值，意味着市场已计入接近永久性衰退的预期。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4" customWidth="1" min="4" max="4"/>
  </cols>
  <sheetData>
    <row r="1">
      <c r="A1" s="1" t="inlineStr">
        <is>
          <t>可比公司相对估值</t>
        </is>
      </c>
    </row>
    <row r="3">
      <c r="A3" s="13" t="inlineStr">
        <is>
          <t>公司</t>
        </is>
      </c>
      <c r="B3" s="13" t="inlineStr">
        <is>
          <t>PE-TTM</t>
        </is>
      </c>
      <c r="C3" s="13" t="inlineStr">
        <is>
          <t>股息率</t>
        </is>
      </c>
      <c r="D3" s="13" t="inlineStr">
        <is>
          <t>备注</t>
        </is>
      </c>
    </row>
    <row r="4">
      <c r="A4" s="40" t="inlineStr">
        <is>
          <t>贵州茅台</t>
        </is>
      </c>
      <c r="B4" s="37" t="n">
        <v>19.6</v>
      </c>
      <c r="C4" s="36" t="n">
        <v>0.039</v>
      </c>
      <c r="D4" s="3" t="inlineStr">
        <is>
          <t>PE-TTM处近十年2.3%分位</t>
        </is>
      </c>
    </row>
    <row r="5">
      <c r="A5" s="19" t="inlineStr">
        <is>
          <t>五粮液</t>
        </is>
      </c>
      <c r="B5" s="41" t="n">
        <v>15</v>
      </c>
      <c r="C5" s="15" t="n">
        <v>0.073</v>
      </c>
      <c r="D5" s="4" t="inlineStr">
        <is>
          <t>2025年报表口径调整放大降幅</t>
        </is>
      </c>
    </row>
    <row r="6">
      <c r="A6" s="19" t="inlineStr">
        <is>
          <t>泸州老窖</t>
        </is>
      </c>
      <c r="B6" s="41" t="n">
        <v>14</v>
      </c>
      <c r="C6" s="15" t="n">
        <v>0.08199999999999999</v>
      </c>
      <c r="D6" s="4" t="inlineStr">
        <is>
          <t>2026H1净利-36%</t>
        </is>
      </c>
    </row>
    <row r="7">
      <c r="A7" s="19" t="inlineStr">
        <is>
          <t>山西汾酒</t>
        </is>
      </c>
      <c r="B7" s="41" t="n">
        <v>14</v>
      </c>
      <c r="C7" s="15" t="n">
        <v>0.055</v>
      </c>
      <c r="D7" s="4" t="inlineStr">
        <is>
          <t>2026H1净利-24%</t>
        </is>
      </c>
    </row>
    <row r="9">
      <c r="A9" s="7" t="inlineStr">
        <is>
          <t>目标倍数推导（质量调整）</t>
        </is>
      </c>
    </row>
    <row r="10">
      <c r="A10" s="3" t="inlineStr">
        <is>
          <t>目标PE下限（2026E）</t>
        </is>
      </c>
      <c r="B10" s="42" t="n">
        <v>22</v>
      </c>
    </row>
    <row r="11">
      <c r="A11" s="3" t="inlineStr">
        <is>
          <t>目标PE上限（2026E）</t>
        </is>
      </c>
      <c r="B11" s="42" t="n">
        <v>26</v>
      </c>
    </row>
    <row r="12">
      <c r="A12" s="3" t="inlineStr">
        <is>
          <t>2026E EPS（元）</t>
        </is>
      </c>
      <c r="B12" s="16">
        <f>'盈利预测'!C16</f>
        <v/>
      </c>
    </row>
    <row r="13">
      <c r="A13" s="3" t="inlineStr">
        <is>
          <t>可比法每股价值下限</t>
        </is>
      </c>
      <c r="B13" s="38">
        <f>B10*B12</f>
        <v/>
      </c>
    </row>
    <row r="14">
      <c r="A14" s="3" t="inlineStr">
        <is>
          <t>可比法每股价值上限</t>
        </is>
      </c>
      <c r="B14" s="38">
        <f>B11*B12</f>
        <v/>
      </c>
    </row>
    <row r="15">
      <c r="A15" s="3" t="inlineStr">
        <is>
          <t>可比法区间（显示）</t>
        </is>
      </c>
      <c r="B15" s="19">
        <f>TEXT(B13,"#,##0")&amp;" – "&amp;TEXT(B14,"#,##0")&amp;"元"</f>
        <v/>
      </c>
    </row>
    <row r="17">
      <c r="A17" s="25" t="inlineStr">
        <is>
          <t>逻辑：可比组14-15倍为盈利受损年份的被动低倍数；茅台以ROE(32.5% vs 同业15-30%)、盈利确定性、79%分红率获得溢价，给予22-26倍（自身历史P30-P50分位），中枢对应DCF结果交叉验证。</t>
        </is>
      </c>
    </row>
    <row r="19">
      <c r="A19" s="7" t="inlineStr">
        <is>
          <t>综合估值结论</t>
        </is>
      </c>
    </row>
    <row r="20">
      <c r="A20" s="3" t="inlineStr">
        <is>
          <t>DCF每股价值</t>
        </is>
      </c>
      <c r="B20" s="43">
        <f>'DCF估值'!B33</f>
        <v/>
      </c>
    </row>
    <row r="21">
      <c r="A21" s="3" t="inlineStr">
        <is>
          <t>可比法区间</t>
        </is>
      </c>
      <c r="B21" s="19">
        <f>B15</f>
        <v/>
      </c>
    </row>
    <row r="22">
      <c r="A22" s="3" t="inlineStr">
        <is>
          <t>综合目标区间</t>
        </is>
      </c>
      <c r="B22" s="19" t="inlineStr">
        <is>
          <t>1,550 – 1,800元（中枢1,700元）</t>
        </is>
      </c>
    </row>
    <row r="23">
      <c r="A23" s="3" t="inlineStr">
        <is>
          <t>现价</t>
        </is>
      </c>
      <c r="B23" s="43">
        <f>'DCF估值'!B34</f>
        <v/>
      </c>
    </row>
    <row r="24">
      <c r="A24" s="3" t="inlineStr">
        <is>
          <t>中枢隐含空间</t>
        </is>
      </c>
      <c r="B24" s="15">
        <f>1700/'DCF估值'!B34-1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假设清单、数据来源与免责声明</t>
        </is>
      </c>
    </row>
    <row r="3">
      <c r="A3" s="7" t="inlineStr">
        <is>
          <t>一、关键假设及依据</t>
        </is>
      </c>
    </row>
    <row r="4">
      <c r="A4" s="44" t="inlineStr">
        <is>
          <t>1. 收入预测：茅台酒2026E+4.0%（H1持平、H2提价满效应+低基数），2027-2030年6.2%/5.5%/4.5%/3.5%递减；系列酒2026E+2%后恢复中高个位数。</t>
        </is>
      </c>
    </row>
    <row r="5">
      <c r="A5" s="44" t="inlineStr">
        <is>
          <t>2. 提价传导：飞天出厂价2026-03-31由1169元上调至1269元(+8.6%)，2026-07-18 i茅台零售价1539→1639元；模型仅计入3月出厂价提价，7月二次上调为上行期权。</t>
        </is>
      </c>
    </row>
    <row r="6">
      <c r="A6" s="44" t="inlineStr">
        <is>
          <t>3. 净利率48.0%→49.8%：提价与直销结构（直销吨价约为批发3倍）增利大于'全面向C'费用投入（2026E销售费用+12%）。</t>
        </is>
      </c>
    </row>
    <row r="7">
      <c r="A7" s="44" t="inlineStr">
        <is>
          <t>4. WACC=7.2%：Rf 1.64%（10Y国债，2026-10-23中债曲线）+β0.85×ERP6.5%；茅台无有息负债，WACC≈Ke。</t>
        </is>
      </c>
    </row>
    <row r="8">
      <c r="A8" s="44" t="inlineStr">
        <is>
          <t>5. 永续增长率g=2.5%：不高于长期名义GDP增速，反映行业缩量的克制假设。</t>
        </is>
      </c>
    </row>
    <row r="9">
      <c r="A9" s="44" t="inlineStr">
        <is>
          <t>6. 资本开支60→40亿元：茅台酒'十四五'技改(155亿)+3万吨系列酒技改(102亿)+习水同民坝(41亿)建设高峰后递减。</t>
        </is>
      </c>
    </row>
    <row r="10">
      <c r="A10" s="44" t="inlineStr">
        <is>
          <t>7. 超额净现金1,300亿元：货币资金+财务公司类现金剔除对应吸收存款后的保守估计，单独加回不参与折现。</t>
        </is>
      </c>
    </row>
    <row r="12">
      <c r="A12" s="7" t="inlineStr">
        <is>
          <t>二、主要数据来源</t>
        </is>
      </c>
    </row>
    <row r="13">
      <c r="A13" s="44" t="inlineStr">
        <is>
          <t>[S1] 贵州茅台2025年年度报告（官方PDF，2026-04-17）</t>
        </is>
      </c>
    </row>
    <row r="14">
      <c r="A14" s="44" t="inlineStr">
        <is>
          <t>[S2] 贵州茅台2026年第一季度报告（2026-04-27）</t>
        </is>
      </c>
    </row>
    <row r="15">
      <c r="A15" s="44" t="inlineStr">
        <is>
          <t>[S3] 贵州茅台2026年半年度报告（2026-08-14）</t>
        </is>
      </c>
    </row>
    <row r="16">
      <c r="A16" s="44" t="inlineStr">
        <is>
          <t>[M1] 东方财富/同花顺行情数据（2026-10-13至10-22）</t>
        </is>
      </c>
    </row>
    <row r="17">
      <c r="A17" s="44" t="inlineStr">
        <is>
          <t>[M4] 财政部中债国债收益率曲线（2026-10-23）</t>
        </is>
      </c>
    </row>
    <row r="18">
      <c r="A18" s="44" t="inlineStr">
        <is>
          <t>[I1] 国家统计局：2025年规上白酒产量354.9万千升</t>
        </is>
      </c>
    </row>
    <row r="19">
      <c r="A19" s="44" t="inlineStr">
        <is>
          <t>[I2] 中国酒业协会×KPMG《2025中国白酒市场中期研究报告》</t>
        </is>
      </c>
    </row>
    <row r="20">
      <c r="A20" s="44" t="inlineStr">
        <is>
          <t>完整溯源见 data/ 目录各JSON文件sources字段。</t>
        </is>
      </c>
    </row>
    <row r="22">
      <c r="A22" s="7" t="inlineStr">
        <is>
          <t>三、免责声明</t>
        </is>
      </c>
    </row>
    <row r="23">
      <c r="A23" s="45" t="inlineStr">
        <is>
          <t>本模型由「研报侠」AI技能（个人AI投研工作台）生成，为支付宝AI付PAYATHON 2026参赛作品示例。所有数据来自公开渠道，可能存在滞后或口径差异；估值为基于假设的情景推演，不构成任何投资建议。市场有风险，投资需谨慎。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rev_2026</t>
        </is>
      </c>
      <c r="B1" t="n">
        <v>1783.79174</v>
      </c>
    </row>
    <row r="2">
      <c r="A2" t="inlineStr">
        <is>
          <t>rev_2030</t>
        </is>
      </c>
      <c r="B2" t="n">
        <v>2169.711078</v>
      </c>
    </row>
    <row r="3">
      <c r="A3" t="inlineStr">
        <is>
          <t>np_2026</t>
        </is>
      </c>
      <c r="B3" t="n">
        <v>856.2200350000001</v>
      </c>
    </row>
    <row r="4">
      <c r="A4" t="inlineStr">
        <is>
          <t>np_2030</t>
        </is>
      </c>
      <c r="B4" t="n">
        <v>1080.516117</v>
      </c>
    </row>
    <row r="5">
      <c r="A5" t="inlineStr">
        <is>
          <t>eps_2026</t>
        </is>
      </c>
      <c r="B5" t="n">
        <v>68.371799</v>
      </c>
    </row>
    <row r="6">
      <c r="A6" t="inlineStr">
        <is>
          <t>wacc</t>
        </is>
      </c>
      <c r="B6" t="n">
        <v>0.07165000000000001</v>
      </c>
    </row>
    <row r="7">
      <c r="A7" t="inlineStr">
        <is>
          <t>fcff_2026</t>
        </is>
      </c>
      <c r="B7" t="n">
        <v>839.063336</v>
      </c>
    </row>
    <row r="8">
      <c r="A8" t="inlineStr">
        <is>
          <t>fcff_2030</t>
        </is>
      </c>
      <c r="B8" t="n">
        <v>1094.723859</v>
      </c>
    </row>
    <row r="9">
      <c r="A9" t="inlineStr">
        <is>
          <t>pv_explicit</t>
        </is>
      </c>
      <c r="B9" t="n">
        <v>3959.043804</v>
      </c>
    </row>
    <row r="10">
      <c r="A10" t="inlineStr">
        <is>
          <t>pv_tv</t>
        </is>
      </c>
      <c r="B10" t="n">
        <v>17018.134792</v>
      </c>
    </row>
    <row r="11">
      <c r="A11" t="inlineStr">
        <is>
          <t>ev</t>
        </is>
      </c>
      <c r="B11" t="n">
        <v>20977.178597</v>
      </c>
    </row>
    <row r="12">
      <c r="A12" t="inlineStr">
        <is>
          <t>equity</t>
        </is>
      </c>
      <c r="B12" t="n">
        <v>22247.178597</v>
      </c>
    </row>
    <row r="13">
      <c r="A13" t="inlineStr">
        <is>
          <t>per_share</t>
        </is>
      </c>
      <c r="B13" t="n">
        <v>1776.505518</v>
      </c>
    </row>
    <row r="14">
      <c r="A14" t="inlineStr">
        <is>
          <t>comps_low</t>
        </is>
      </c>
      <c r="B14" t="n">
        <v>1504.179572</v>
      </c>
    </row>
    <row r="15">
      <c r="A15" t="inlineStr">
        <is>
          <t>comps_high</t>
        </is>
      </c>
      <c r="B15" t="n">
        <v>1777.666766</v>
      </c>
    </row>
    <row r="16">
      <c r="A16" t="inlineStr">
        <is>
          <t>upside</t>
        </is>
      </c>
      <c r="B16" t="n">
        <v>0.330716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2026-10-24T12:50:21Z</dcterms:created>
  <dcterms:modified xmlns:dcterms="http://purl.org/dc/terms/" xmlns:xsi="http://www.w3.org/2001/XMLSchema-instance" xsi:type="dcterms:W3CDTF">2026-10-24T12:50:21Z</dcterms:modified>
</cp:coreProperties>
</file>